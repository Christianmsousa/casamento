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vidados 1" sheetId="1" r:id="rId5"/>
    <sheet state="visible" name="Convidados 2" sheetId="2" r:id="rId6"/>
  </sheets>
  <definedNames/>
  <calcPr/>
</workbook>
</file>

<file path=xl/sharedStrings.xml><?xml version="1.0" encoding="utf-8"?>
<sst xmlns="http://schemas.openxmlformats.org/spreadsheetml/2006/main" count="396" uniqueCount="162">
  <si>
    <t>đ</t>
  </si>
  <si>
    <t>Numero do convite</t>
  </si>
  <si>
    <t>Convidados</t>
  </si>
  <si>
    <t>Telefone</t>
  </si>
  <si>
    <t>Qtd pessoas</t>
  </si>
  <si>
    <t>Observação</t>
  </si>
  <si>
    <t>Tipo de convidado</t>
  </si>
  <si>
    <t>Grupo</t>
  </si>
  <si>
    <t>Chance de não ir</t>
  </si>
  <si>
    <t>Familia por parte</t>
  </si>
  <si>
    <t>Tipo</t>
  </si>
  <si>
    <t>Prioridade</t>
  </si>
  <si>
    <t>Solange &amp; Edson</t>
  </si>
  <si>
    <t>11 991521914 ------------- 11 983864217</t>
  </si>
  <si>
    <t>Dai e Ronaldo</t>
  </si>
  <si>
    <t>Padrinho</t>
  </si>
  <si>
    <t>Convidado</t>
  </si>
  <si>
    <t>Não</t>
  </si>
  <si>
    <t>Julia</t>
  </si>
  <si>
    <t>Cerimonial</t>
  </si>
  <si>
    <t>Adriana &amp; Zé</t>
  </si>
  <si>
    <t>Renilza e filha</t>
  </si>
  <si>
    <t>19 991742185</t>
  </si>
  <si>
    <t>Dinorá e Marido</t>
  </si>
  <si>
    <t>Max e Familia</t>
  </si>
  <si>
    <t>11 969168130 ---------  11 993550499</t>
  </si>
  <si>
    <t>Christian</t>
  </si>
  <si>
    <t>Tem criança -9 anos</t>
  </si>
  <si>
    <t>Lu (do Klebinho), Gabi e Namorado</t>
  </si>
  <si>
    <t>Diogo Gonçalves</t>
  </si>
  <si>
    <t>Bruno e Mara e Giulia</t>
  </si>
  <si>
    <t>Yan Kirk</t>
  </si>
  <si>
    <t>Necila e Cidao</t>
  </si>
  <si>
    <t>Douglas e familia</t>
  </si>
  <si>
    <t>19 99728-8996</t>
  </si>
  <si>
    <t>Tem criança -6 anos</t>
  </si>
  <si>
    <t>Kamila e Bruno</t>
  </si>
  <si>
    <t>Chagas e Esposa</t>
  </si>
  <si>
    <t>19 986078653</t>
  </si>
  <si>
    <t>Julia, Christian</t>
  </si>
  <si>
    <t>Renan e Familai</t>
  </si>
  <si>
    <t>Guilherme</t>
  </si>
  <si>
    <t>351 913 966 812</t>
  </si>
  <si>
    <t xml:space="preserve"> Karina</t>
  </si>
  <si>
    <t>Eltin e familia</t>
  </si>
  <si>
    <t>35 988137637</t>
  </si>
  <si>
    <t>Bruna, Matheus e Matheus (filho)</t>
  </si>
  <si>
    <t>Diogo (time)</t>
  </si>
  <si>
    <t>6 29778006 -------------  19 999380241</t>
  </si>
  <si>
    <t>Ana e Familia</t>
  </si>
  <si>
    <t>Josiel e Eduarda</t>
  </si>
  <si>
    <t xml:space="preserve"> 19 99334-2696</t>
  </si>
  <si>
    <t>Lu, Wilson e filhos</t>
  </si>
  <si>
    <t>19 99422-1132</t>
  </si>
  <si>
    <t>Matheus primo</t>
  </si>
  <si>
    <t>19 99254-3186</t>
  </si>
  <si>
    <t>Ver se ele vai levar os filhos</t>
  </si>
  <si>
    <t>Michel, Valeria e Bernardo</t>
  </si>
  <si>
    <t>11 943254635</t>
  </si>
  <si>
    <t>Sandra e Carlos</t>
  </si>
  <si>
    <t>11 976342397</t>
  </si>
  <si>
    <t>Juliana e Brunela</t>
  </si>
  <si>
    <t>11 972420096</t>
  </si>
  <si>
    <t>Felipe e Familia</t>
  </si>
  <si>
    <t>11 971356573</t>
  </si>
  <si>
    <t>Cida e Joaquim</t>
  </si>
  <si>
    <t>11 933992421</t>
  </si>
  <si>
    <t>Daniel</t>
  </si>
  <si>
    <t>11 982520812</t>
  </si>
  <si>
    <t>Larissa</t>
  </si>
  <si>
    <t>35 987218803</t>
  </si>
  <si>
    <t>Jessica e Namorado</t>
  </si>
  <si>
    <t>35 988557647</t>
  </si>
  <si>
    <t>Katia e namorado</t>
  </si>
  <si>
    <t>19 991430769</t>
  </si>
  <si>
    <t>Karol, Leo e Manu</t>
  </si>
  <si>
    <t>19 99137-6552</t>
  </si>
  <si>
    <t>Mariela</t>
  </si>
  <si>
    <t>19 983195668</t>
  </si>
  <si>
    <t>Daniel e Francine</t>
  </si>
  <si>
    <t>35 91956292</t>
  </si>
  <si>
    <t>Leo, Bianca e Mirela</t>
  </si>
  <si>
    <t>35 88346676</t>
  </si>
  <si>
    <t>Kaiala, Henrique e Ana</t>
  </si>
  <si>
    <t>19 98242-6763</t>
  </si>
  <si>
    <t>Vó Elza</t>
  </si>
  <si>
    <t>Higor, Julia e Gael</t>
  </si>
  <si>
    <t>19 98870-1542</t>
  </si>
  <si>
    <t>Rodrigo e Joyce</t>
  </si>
  <si>
    <t>19 99564-8448</t>
  </si>
  <si>
    <t>Diana e Flavio</t>
  </si>
  <si>
    <t>19 98225-4007</t>
  </si>
  <si>
    <t>Fia e Henrique</t>
  </si>
  <si>
    <t>19 98806-3508</t>
  </si>
  <si>
    <t>Vitinho e Marcela</t>
  </si>
  <si>
    <t>19 99487-5794</t>
  </si>
  <si>
    <t>Geise Keli e Familia</t>
  </si>
  <si>
    <t>19 99111-0862</t>
  </si>
  <si>
    <t>Maurilio e Liane</t>
  </si>
  <si>
    <t>19 99446-1848</t>
  </si>
  <si>
    <t>Evelyn e namorado</t>
  </si>
  <si>
    <t>19 99364-6098</t>
  </si>
  <si>
    <t>Priscila</t>
  </si>
  <si>
    <t>19 98608-1761</t>
  </si>
  <si>
    <t>Aline e Gustavo</t>
  </si>
  <si>
    <t>11 955873583</t>
  </si>
  <si>
    <t>Silvia e Alexandre</t>
  </si>
  <si>
    <t>Sim</t>
  </si>
  <si>
    <t>Neuza e Osvaldo e Matheus</t>
  </si>
  <si>
    <t>19 998390999</t>
  </si>
  <si>
    <t>Cidao e Sabrina</t>
  </si>
  <si>
    <t>19 99299-6043</t>
  </si>
  <si>
    <t>Guilherme Guatura e mulher</t>
  </si>
  <si>
    <t>19 99971-5386</t>
  </si>
  <si>
    <t>Shall, Lene e Davi</t>
  </si>
  <si>
    <t>Thiago Area Dev</t>
  </si>
  <si>
    <t>62 9341-5378</t>
  </si>
  <si>
    <t>Rod Area Dev</t>
  </si>
  <si>
    <t>91 8140-1807</t>
  </si>
  <si>
    <t>Adriel e Familia</t>
  </si>
  <si>
    <t>91 8382-2970</t>
  </si>
  <si>
    <t>Cdi e Marcela</t>
  </si>
  <si>
    <t>19 98326-9308</t>
  </si>
  <si>
    <t>Adriano (Lobao) e familia</t>
  </si>
  <si>
    <t>19 98307-4865</t>
  </si>
  <si>
    <t>Well</t>
  </si>
  <si>
    <t>19 99954-1150</t>
  </si>
  <si>
    <t>Juliana Amorim e Familia</t>
  </si>
  <si>
    <t>86 9516-8065</t>
  </si>
  <si>
    <t>Tia Cema</t>
  </si>
  <si>
    <t>11 933131171</t>
  </si>
  <si>
    <t>Matheus e Tiago</t>
  </si>
  <si>
    <t>35 92010959</t>
  </si>
  <si>
    <t>Luiza e Gabriel</t>
  </si>
  <si>
    <t>11 981293654</t>
  </si>
  <si>
    <t>Vó Elisa</t>
  </si>
  <si>
    <t>19 98221-3409</t>
  </si>
  <si>
    <t>Tio Baby e familia</t>
  </si>
  <si>
    <t>19 98335-6156</t>
  </si>
  <si>
    <t>Tio Cristiano e Ana</t>
  </si>
  <si>
    <t>19 99136-0358</t>
  </si>
  <si>
    <t>Tia Bibia e Julio e Natalia</t>
  </si>
  <si>
    <t>19 99509-1412</t>
  </si>
  <si>
    <t>Julia e Andre</t>
  </si>
  <si>
    <t>Renilza e Isabela</t>
  </si>
  <si>
    <t>11 97613-1519</t>
  </si>
  <si>
    <t>Tio Jô</t>
  </si>
  <si>
    <t>Tem criança -9 anos
OBS: Conversar com minha mae sobre e Josiel</t>
  </si>
  <si>
    <t>Andréia e Luciano</t>
  </si>
  <si>
    <t>19 98800-5456</t>
  </si>
  <si>
    <t>Marcio e Familia</t>
  </si>
  <si>
    <t>61 9352-5661</t>
  </si>
  <si>
    <t>Tio Jeison e Familia</t>
  </si>
  <si>
    <t>19 99561-3200</t>
  </si>
  <si>
    <t>Ribeirão e Familia</t>
  </si>
  <si>
    <t>Cleuza e Valdir</t>
  </si>
  <si>
    <t>19 99195-3978</t>
  </si>
  <si>
    <t>Daiane e Ronaldo</t>
  </si>
  <si>
    <t>19 989071001</t>
  </si>
  <si>
    <t>Pr Daniel, Karen e Mayra</t>
  </si>
  <si>
    <t>Total sem filtro</t>
  </si>
  <si>
    <t>Filtrando pessoas que tende a não ir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</si>
</sst>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Font="1"/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D4D7F0"/>
          <bgColor rgb="FFD4D7F0"/>
        </patternFill>
      </fill>
      <border/>
    </dxf>
  </dxfs>
  <tableStyles count="2">
    <tableStyle count="4" pivot="0" name="Convidados 2-style">
      <tableStyleElement dxfId="1" type="headerRow"/>
      <tableStyleElement dxfId="2" type="firstRowStripe"/>
      <tableStyleElement dxfId="4" type="secondRowStripe"/>
      <tableStyleElement dxfId="5" size="0" type="wholeTable"/>
    </tableStyle>
    <tableStyle count="5" pivot="0" name="Convidados 1-style">
      <tableStyleElement dxfId="3" type="headerRow"/>
      <tableStyleElement dxfId="2" type="firstRowStripe"/>
      <tableStyleElement dxfId="4" type="secondRowStripe"/>
      <tableStyleElement dxfId="6" type="totalRow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ref="A2:H70" displayName="Tabela_1" name="Tabela_1" id="2">
  <tableColumns count="8">
    <tableColumn totalsRowLabel="Total sem filtro" name="Convidados" id="1"/>
    <tableColumn name="Telefone" id="2"/>
    <tableColumn totalsRowFunction="custom" name="Qtd pessoas" id="3"/>
    <tableColumn name="Observação" id="4"/>
    <tableColumn name="Tipo de convidado" id="5"/>
    <tableColumn name="Grupo" id="6"/>
    <tableColumn name="Chance de não ir" id="7"/>
    <tableColumn name="Familia por parte" id="8"/>
  </tableColumns>
  <tableStyleInfo name="Convidados 1-style" showColumnStripes="0" showFirstColumn="1" showLastColumn="1" showRowStripes="1"/>
</table>
</file>

<file path=xl/tables/table2.xml><?xml version="1.0" encoding="utf-8"?>
<table xmlns="http://schemas.openxmlformats.org/spreadsheetml/2006/main" ref="A2:H63" displayName="Tabela" name="Tabela" id="1">
  <tableColumns count="8">
    <tableColumn name="Numero do convite" id="1"/>
    <tableColumn name="Convidados" id="2"/>
    <tableColumn name="Qtd pessoas" id="3"/>
    <tableColumn name="Observação" id="4"/>
    <tableColumn name="Tipo de convidado" id="5"/>
    <tableColumn name="Grupo" id="6"/>
    <tableColumn name="Chance de não ir" id="7"/>
    <tableColumn name="Familia por parte" id="8"/>
  </tableColumns>
  <tableStyleInfo name="Convidados 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0.25"/>
    <col customWidth="1" min="3" max="3" width="33.88"/>
    <col customWidth="1" min="4" max="4" width="42.25"/>
    <col customWidth="1" min="5" max="5" width="22.38"/>
    <col customWidth="1" min="7" max="7" width="24.75"/>
    <col customWidth="1" min="8" max="8" width="23.63"/>
  </cols>
  <sheetData>
    <row r="1">
      <c r="A1" s="1" t="s">
        <v>0</v>
      </c>
      <c r="B1" s="1"/>
    </row>
    <row r="2" ht="22.5" customHeight="1">
      <c r="A2" s="2" t="s">
        <v>2</v>
      </c>
      <c r="B2" s="3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3" t="s">
        <v>8</v>
      </c>
      <c r="H2" s="2" t="s">
        <v>9</v>
      </c>
      <c r="I2" s="1"/>
      <c r="K2" s="1" t="s">
        <v>10</v>
      </c>
      <c r="L2" s="1" t="s">
        <v>11</v>
      </c>
    </row>
    <row r="3" ht="22.5" customHeight="1">
      <c r="A3" s="4" t="s">
        <v>12</v>
      </c>
      <c r="B3" s="5" t="s">
        <v>13</v>
      </c>
      <c r="C3" s="5">
        <v>2.0</v>
      </c>
      <c r="E3" s="6" t="s">
        <v>15</v>
      </c>
      <c r="G3" s="6" t="s">
        <v>17</v>
      </c>
      <c r="H3" s="4" t="s">
        <v>18</v>
      </c>
      <c r="K3" s="1" t="s">
        <v>19</v>
      </c>
      <c r="L3" s="1">
        <v>1.0</v>
      </c>
    </row>
    <row r="4" ht="22.5" customHeight="1">
      <c r="A4" s="4" t="s">
        <v>20</v>
      </c>
      <c r="B4" s="5" t="s">
        <v>22</v>
      </c>
      <c r="C4" s="5">
        <v>2.0</v>
      </c>
      <c r="E4" s="6" t="s">
        <v>15</v>
      </c>
      <c r="G4" s="6" t="s">
        <v>17</v>
      </c>
      <c r="H4" s="4" t="s">
        <v>18</v>
      </c>
      <c r="K4" s="1" t="s">
        <v>15</v>
      </c>
      <c r="L4" s="1">
        <v>2.0</v>
      </c>
    </row>
    <row r="5" ht="22.5" customHeight="1">
      <c r="A5" s="4" t="s">
        <v>24</v>
      </c>
      <c r="B5" s="5" t="s">
        <v>25</v>
      </c>
      <c r="C5" s="5">
        <v>6.0</v>
      </c>
      <c r="D5" s="4" t="s">
        <v>27</v>
      </c>
      <c r="E5" s="6" t="s">
        <v>15</v>
      </c>
      <c r="G5" s="6" t="s">
        <v>17</v>
      </c>
      <c r="H5" s="4" t="s">
        <v>18</v>
      </c>
      <c r="K5" s="1" t="s">
        <v>16</v>
      </c>
      <c r="L5" s="1">
        <v>3.0</v>
      </c>
    </row>
    <row r="6" ht="22.5" customHeight="1">
      <c r="A6" s="4" t="s">
        <v>30</v>
      </c>
      <c r="B6" s="5"/>
      <c r="C6" s="5">
        <v>3.0</v>
      </c>
      <c r="E6" s="6" t="s">
        <v>15</v>
      </c>
      <c r="G6" s="6" t="s">
        <v>17</v>
      </c>
      <c r="H6" s="4" t="s">
        <v>26</v>
      </c>
    </row>
    <row r="7" ht="22.5" customHeight="1">
      <c r="A7" s="4" t="s">
        <v>32</v>
      </c>
      <c r="B7" s="5" t="s">
        <v>34</v>
      </c>
      <c r="C7" s="5">
        <v>2.0</v>
      </c>
      <c r="E7" s="6" t="s">
        <v>15</v>
      </c>
      <c r="G7" s="6" t="s">
        <v>17</v>
      </c>
      <c r="H7" s="4" t="s">
        <v>26</v>
      </c>
    </row>
    <row r="8" ht="22.5" customHeight="1">
      <c r="A8" s="4" t="s">
        <v>36</v>
      </c>
      <c r="B8" s="5" t="s">
        <v>38</v>
      </c>
      <c r="C8" s="5">
        <v>2.0</v>
      </c>
      <c r="E8" s="6" t="s">
        <v>15</v>
      </c>
      <c r="G8" s="6" t="s">
        <v>17</v>
      </c>
      <c r="H8" s="4" t="s">
        <v>39</v>
      </c>
    </row>
    <row r="9" ht="22.5" customHeight="1">
      <c r="A9" s="4" t="s">
        <v>41</v>
      </c>
      <c r="B9" s="5" t="s">
        <v>42</v>
      </c>
      <c r="C9" s="5">
        <v>2.0</v>
      </c>
      <c r="E9" s="6" t="s">
        <v>15</v>
      </c>
      <c r="G9" s="6" t="s">
        <v>17</v>
      </c>
      <c r="H9" s="4" t="s">
        <v>26</v>
      </c>
    </row>
    <row r="10" ht="22.5" customHeight="1">
      <c r="A10" s="4" t="s">
        <v>43</v>
      </c>
      <c r="B10" s="5" t="s">
        <v>45</v>
      </c>
      <c r="C10" s="5"/>
      <c r="E10" s="6" t="s">
        <v>15</v>
      </c>
      <c r="G10" s="6" t="s">
        <v>17</v>
      </c>
      <c r="H10" s="8" t="s">
        <v>18</v>
      </c>
    </row>
    <row r="11" ht="22.5" customHeight="1">
      <c r="A11" s="4" t="s">
        <v>46</v>
      </c>
      <c r="B11" s="5" t="s">
        <v>48</v>
      </c>
      <c r="C11" s="5">
        <v>2.0</v>
      </c>
      <c r="D11" s="4" t="s">
        <v>27</v>
      </c>
      <c r="E11" s="6" t="s">
        <v>16</v>
      </c>
      <c r="G11" s="6" t="s">
        <v>17</v>
      </c>
      <c r="H11" s="4" t="s">
        <v>18</v>
      </c>
    </row>
    <row r="12" ht="22.5" customHeight="1">
      <c r="A12" s="4" t="s">
        <v>50</v>
      </c>
      <c r="B12" s="5" t="s">
        <v>51</v>
      </c>
      <c r="C12" s="5">
        <v>2.0</v>
      </c>
      <c r="E12" s="6" t="s">
        <v>16</v>
      </c>
      <c r="G12" s="6" t="s">
        <v>17</v>
      </c>
      <c r="H12" s="4" t="s">
        <v>26</v>
      </c>
    </row>
    <row r="13" ht="22.5" customHeight="1">
      <c r="A13" s="4" t="s">
        <v>52</v>
      </c>
      <c r="B13" s="5" t="s">
        <v>53</v>
      </c>
      <c r="C13" s="5">
        <v>4.0</v>
      </c>
      <c r="D13" s="4" t="s">
        <v>27</v>
      </c>
      <c r="E13" s="6" t="s">
        <v>16</v>
      </c>
      <c r="G13" s="6" t="s">
        <v>17</v>
      </c>
      <c r="H13" s="4" t="s">
        <v>26</v>
      </c>
    </row>
    <row r="14" ht="22.5" customHeight="1">
      <c r="A14" s="4" t="s">
        <v>54</v>
      </c>
      <c r="B14" s="5" t="s">
        <v>55</v>
      </c>
      <c r="C14" s="5">
        <v>1.0</v>
      </c>
      <c r="D14" s="4" t="s">
        <v>56</v>
      </c>
      <c r="E14" s="6" t="s">
        <v>16</v>
      </c>
      <c r="G14" s="6" t="s">
        <v>17</v>
      </c>
      <c r="H14" s="4" t="s">
        <v>26</v>
      </c>
    </row>
    <row r="15" ht="22.5" customHeight="1">
      <c r="A15" s="4" t="s">
        <v>57</v>
      </c>
      <c r="B15" s="5" t="s">
        <v>58</v>
      </c>
      <c r="C15" s="5">
        <v>3.0</v>
      </c>
      <c r="E15" s="6" t="s">
        <v>16</v>
      </c>
      <c r="G15" s="6" t="s">
        <v>17</v>
      </c>
      <c r="H15" s="4" t="s">
        <v>18</v>
      </c>
    </row>
    <row r="16" ht="22.5" customHeight="1">
      <c r="A16" s="4" t="s">
        <v>59</v>
      </c>
      <c r="B16" s="5" t="s">
        <v>60</v>
      </c>
      <c r="C16" s="5">
        <v>2.0</v>
      </c>
      <c r="E16" s="6" t="s">
        <v>16</v>
      </c>
      <c r="G16" s="6" t="s">
        <v>17</v>
      </c>
      <c r="H16" s="4" t="s">
        <v>18</v>
      </c>
    </row>
    <row r="17" ht="22.5" customHeight="1">
      <c r="A17" s="4" t="s">
        <v>61</v>
      </c>
      <c r="B17" s="5" t="s">
        <v>62</v>
      </c>
      <c r="C17" s="5">
        <v>2.0</v>
      </c>
      <c r="E17" s="6" t="s">
        <v>16</v>
      </c>
      <c r="G17" s="6" t="s">
        <v>17</v>
      </c>
      <c r="H17" s="4" t="s">
        <v>18</v>
      </c>
    </row>
    <row r="18" ht="22.5" customHeight="1">
      <c r="A18" s="4" t="s">
        <v>63</v>
      </c>
      <c r="B18" s="5" t="s">
        <v>64</v>
      </c>
      <c r="C18" s="5">
        <v>3.0</v>
      </c>
      <c r="D18" s="4" t="s">
        <v>27</v>
      </c>
      <c r="E18" s="6" t="s">
        <v>16</v>
      </c>
      <c r="G18" s="6" t="s">
        <v>17</v>
      </c>
      <c r="H18" s="4" t="s">
        <v>18</v>
      </c>
    </row>
    <row r="19" ht="22.5" customHeight="1">
      <c r="A19" s="4" t="s">
        <v>65</v>
      </c>
      <c r="B19" s="5" t="s">
        <v>66</v>
      </c>
      <c r="C19" s="5">
        <v>1.0</v>
      </c>
      <c r="E19" s="6" t="s">
        <v>16</v>
      </c>
      <c r="G19" s="6" t="s">
        <v>17</v>
      </c>
      <c r="H19" s="4" t="s">
        <v>18</v>
      </c>
    </row>
    <row r="20" ht="22.5" customHeight="1">
      <c r="A20" s="4" t="s">
        <v>67</v>
      </c>
      <c r="B20" s="5" t="s">
        <v>68</v>
      </c>
      <c r="C20" s="5">
        <v>1.0</v>
      </c>
      <c r="E20" s="6" t="s">
        <v>16</v>
      </c>
      <c r="G20" s="6" t="s">
        <v>17</v>
      </c>
      <c r="H20" s="4" t="s">
        <v>18</v>
      </c>
    </row>
    <row r="21" ht="22.5" customHeight="1">
      <c r="A21" s="4" t="s">
        <v>69</v>
      </c>
      <c r="B21" s="5" t="s">
        <v>70</v>
      </c>
      <c r="C21" s="5">
        <v>1.0</v>
      </c>
      <c r="E21" s="6" t="s">
        <v>16</v>
      </c>
      <c r="G21" s="6" t="s">
        <v>17</v>
      </c>
      <c r="H21" s="4" t="s">
        <v>18</v>
      </c>
    </row>
    <row r="22" ht="22.5" customHeight="1">
      <c r="A22" s="4" t="s">
        <v>71</v>
      </c>
      <c r="B22" s="5" t="s">
        <v>72</v>
      </c>
      <c r="C22" s="5">
        <v>2.0</v>
      </c>
      <c r="E22" s="6" t="s">
        <v>16</v>
      </c>
      <c r="G22" s="6" t="s">
        <v>17</v>
      </c>
      <c r="H22" s="4" t="s">
        <v>18</v>
      </c>
    </row>
    <row r="23" ht="22.5" customHeight="1">
      <c r="A23" s="4" t="s">
        <v>73</v>
      </c>
      <c r="B23" s="5" t="s">
        <v>74</v>
      </c>
      <c r="C23" s="5">
        <v>2.0</v>
      </c>
      <c r="E23" s="6" t="s">
        <v>16</v>
      </c>
      <c r="G23" s="6" t="s">
        <v>17</v>
      </c>
      <c r="H23" s="4" t="s">
        <v>18</v>
      </c>
    </row>
    <row r="24" ht="22.5" customHeight="1">
      <c r="A24" s="4" t="s">
        <v>75</v>
      </c>
      <c r="B24" s="5" t="s">
        <v>76</v>
      </c>
      <c r="C24" s="5">
        <v>3.0</v>
      </c>
      <c r="E24" s="6" t="s">
        <v>16</v>
      </c>
      <c r="G24" s="6" t="s">
        <v>17</v>
      </c>
      <c r="H24" s="4" t="s">
        <v>18</v>
      </c>
    </row>
    <row r="25" ht="22.5" customHeight="1">
      <c r="A25" s="4" t="s">
        <v>77</v>
      </c>
      <c r="B25" s="5" t="s">
        <v>78</v>
      </c>
      <c r="C25" s="5">
        <v>1.0</v>
      </c>
      <c r="E25" s="6" t="s">
        <v>16</v>
      </c>
      <c r="G25" s="6" t="s">
        <v>17</v>
      </c>
      <c r="H25" s="4" t="s">
        <v>18</v>
      </c>
    </row>
    <row r="26" ht="22.5" customHeight="1">
      <c r="A26" s="4" t="s">
        <v>79</v>
      </c>
      <c r="B26" s="5" t="s">
        <v>80</v>
      </c>
      <c r="C26" s="5">
        <v>2.0</v>
      </c>
      <c r="E26" s="6" t="s">
        <v>16</v>
      </c>
      <c r="G26" s="6" t="s">
        <v>17</v>
      </c>
      <c r="H26" s="4" t="s">
        <v>18</v>
      </c>
    </row>
    <row r="27" ht="22.5" customHeight="1">
      <c r="A27" s="4" t="s">
        <v>81</v>
      </c>
      <c r="B27" s="5" t="s">
        <v>82</v>
      </c>
      <c r="C27" s="5">
        <v>3.0</v>
      </c>
      <c r="E27" s="6" t="s">
        <v>16</v>
      </c>
      <c r="G27" s="6" t="s">
        <v>17</v>
      </c>
      <c r="H27" s="4" t="s">
        <v>26</v>
      </c>
    </row>
    <row r="28" ht="22.5" customHeight="1">
      <c r="A28" s="4" t="s">
        <v>83</v>
      </c>
      <c r="B28" s="5" t="s">
        <v>84</v>
      </c>
      <c r="C28" s="5">
        <v>3.0</v>
      </c>
      <c r="E28" s="6" t="s">
        <v>16</v>
      </c>
      <c r="G28" s="6" t="s">
        <v>17</v>
      </c>
      <c r="H28" s="4" t="s">
        <v>26</v>
      </c>
    </row>
    <row r="29" ht="22.5" customHeight="1">
      <c r="A29" s="4" t="s">
        <v>85</v>
      </c>
      <c r="B29" s="5"/>
      <c r="C29" s="5">
        <v>1.0</v>
      </c>
      <c r="E29" s="6" t="s">
        <v>16</v>
      </c>
      <c r="G29" s="6" t="s">
        <v>17</v>
      </c>
      <c r="H29" s="4" t="s">
        <v>26</v>
      </c>
    </row>
    <row r="30" ht="22.5" customHeight="1">
      <c r="A30" s="4" t="s">
        <v>86</v>
      </c>
      <c r="B30" s="5" t="s">
        <v>87</v>
      </c>
      <c r="C30" s="5">
        <v>3.0</v>
      </c>
      <c r="D30" s="4" t="s">
        <v>27</v>
      </c>
      <c r="E30" s="6" t="s">
        <v>16</v>
      </c>
      <c r="G30" s="6" t="s">
        <v>17</v>
      </c>
      <c r="H30" s="4" t="s">
        <v>26</v>
      </c>
    </row>
    <row r="31" ht="22.5" customHeight="1">
      <c r="A31" s="4" t="s">
        <v>88</v>
      </c>
      <c r="B31" s="5" t="s">
        <v>89</v>
      </c>
      <c r="C31" s="5">
        <v>4.0</v>
      </c>
      <c r="D31" s="4" t="s">
        <v>27</v>
      </c>
      <c r="E31" s="6" t="s">
        <v>16</v>
      </c>
      <c r="G31" s="6" t="s">
        <v>17</v>
      </c>
      <c r="H31" s="4" t="s">
        <v>26</v>
      </c>
    </row>
    <row r="32" ht="22.5" customHeight="1">
      <c r="A32" s="4" t="s">
        <v>90</v>
      </c>
      <c r="B32" s="5" t="s">
        <v>91</v>
      </c>
      <c r="C32" s="5">
        <v>2.0</v>
      </c>
      <c r="E32" s="6" t="s">
        <v>16</v>
      </c>
      <c r="G32" s="6" t="s">
        <v>17</v>
      </c>
      <c r="H32" s="4" t="s">
        <v>26</v>
      </c>
    </row>
    <row r="33" ht="22.5" customHeight="1">
      <c r="A33" s="4" t="s">
        <v>92</v>
      </c>
      <c r="B33" s="5" t="s">
        <v>93</v>
      </c>
      <c r="C33" s="5">
        <v>2.0</v>
      </c>
      <c r="E33" s="6" t="s">
        <v>16</v>
      </c>
      <c r="G33" s="6" t="s">
        <v>17</v>
      </c>
      <c r="H33" s="4" t="s">
        <v>26</v>
      </c>
    </row>
    <row r="34" ht="22.5" customHeight="1">
      <c r="A34" s="4" t="s">
        <v>94</v>
      </c>
      <c r="B34" s="5" t="s">
        <v>95</v>
      </c>
      <c r="C34" s="5">
        <v>2.0</v>
      </c>
      <c r="E34" s="6" t="s">
        <v>16</v>
      </c>
      <c r="G34" s="6" t="s">
        <v>17</v>
      </c>
      <c r="H34" s="4" t="s">
        <v>26</v>
      </c>
    </row>
    <row r="35" ht="22.5" customHeight="1">
      <c r="A35" s="4" t="s">
        <v>96</v>
      </c>
      <c r="B35" s="5" t="s">
        <v>97</v>
      </c>
      <c r="C35" s="5">
        <v>4.0</v>
      </c>
      <c r="D35" s="4"/>
      <c r="E35" s="6" t="s">
        <v>16</v>
      </c>
      <c r="G35" s="6" t="s">
        <v>17</v>
      </c>
      <c r="H35" s="4" t="s">
        <v>26</v>
      </c>
    </row>
    <row r="36" ht="22.5" customHeight="1">
      <c r="A36" s="4" t="s">
        <v>98</v>
      </c>
      <c r="B36" s="5" t="s">
        <v>99</v>
      </c>
      <c r="C36" s="5">
        <v>2.0</v>
      </c>
      <c r="E36" s="6" t="s">
        <v>16</v>
      </c>
      <c r="G36" s="6" t="s">
        <v>17</v>
      </c>
      <c r="H36" s="4" t="s">
        <v>26</v>
      </c>
    </row>
    <row r="37" ht="22.5" customHeight="1">
      <c r="A37" s="4" t="s">
        <v>100</v>
      </c>
      <c r="B37" s="5" t="s">
        <v>101</v>
      </c>
      <c r="C37" s="5">
        <v>2.0</v>
      </c>
      <c r="E37" s="6" t="s">
        <v>16</v>
      </c>
      <c r="G37" s="6" t="s">
        <v>17</v>
      </c>
      <c r="H37" s="4" t="s">
        <v>26</v>
      </c>
    </row>
    <row r="38" ht="22.5" customHeight="1">
      <c r="A38" s="4" t="s">
        <v>102</v>
      </c>
      <c r="B38" s="5" t="s">
        <v>103</v>
      </c>
      <c r="C38" s="5">
        <v>1.0</v>
      </c>
      <c r="E38" s="6" t="s">
        <v>16</v>
      </c>
      <c r="G38" s="6" t="s">
        <v>17</v>
      </c>
      <c r="H38" s="4" t="s">
        <v>26</v>
      </c>
    </row>
    <row r="39" ht="22.5" customHeight="1">
      <c r="A39" s="4" t="s">
        <v>104</v>
      </c>
      <c r="B39" s="5" t="s">
        <v>105</v>
      </c>
      <c r="C39" s="5">
        <v>2.0</v>
      </c>
      <c r="E39" s="6" t="s">
        <v>16</v>
      </c>
      <c r="G39" s="6" t="s">
        <v>17</v>
      </c>
      <c r="H39" s="4" t="s">
        <v>18</v>
      </c>
    </row>
    <row r="40" ht="22.5" customHeight="1">
      <c r="A40" s="4" t="s">
        <v>106</v>
      </c>
      <c r="B40" s="5"/>
      <c r="C40" s="5">
        <v>2.0</v>
      </c>
      <c r="E40" s="6" t="s">
        <v>16</v>
      </c>
      <c r="G40" s="6" t="s">
        <v>107</v>
      </c>
      <c r="H40" s="4" t="s">
        <v>18</v>
      </c>
    </row>
    <row r="41" ht="22.5" customHeight="1">
      <c r="A41" s="4" t="s">
        <v>108</v>
      </c>
      <c r="B41" s="5" t="s">
        <v>109</v>
      </c>
      <c r="C41" s="5">
        <v>3.0</v>
      </c>
      <c r="E41" s="6" t="s">
        <v>16</v>
      </c>
      <c r="G41" s="6" t="s">
        <v>17</v>
      </c>
      <c r="H41" s="4" t="s">
        <v>18</v>
      </c>
    </row>
    <row r="42" ht="22.5" customHeight="1">
      <c r="A42" s="4" t="s">
        <v>110</v>
      </c>
      <c r="B42" s="5" t="s">
        <v>111</v>
      </c>
      <c r="C42" s="5">
        <v>2.0</v>
      </c>
      <c r="E42" s="6" t="s">
        <v>16</v>
      </c>
      <c r="G42" s="6" t="s">
        <v>17</v>
      </c>
      <c r="H42" s="4" t="s">
        <v>18</v>
      </c>
    </row>
    <row r="43" ht="22.5" customHeight="1">
      <c r="A43" s="4" t="s">
        <v>112</v>
      </c>
      <c r="B43" s="5" t="s">
        <v>113</v>
      </c>
      <c r="C43" s="5">
        <v>2.0</v>
      </c>
      <c r="E43" s="6" t="s">
        <v>16</v>
      </c>
      <c r="G43" s="6" t="s">
        <v>17</v>
      </c>
      <c r="H43" s="8" t="s">
        <v>26</v>
      </c>
    </row>
    <row r="44" ht="22.5" customHeight="1">
      <c r="A44" s="4" t="s">
        <v>114</v>
      </c>
      <c r="B44" s="5"/>
      <c r="C44" s="5">
        <v>3.0</v>
      </c>
      <c r="E44" s="6" t="s">
        <v>16</v>
      </c>
      <c r="G44" s="6" t="s">
        <v>17</v>
      </c>
      <c r="H44" s="8" t="s">
        <v>26</v>
      </c>
    </row>
    <row r="45" ht="22.5" customHeight="1">
      <c r="A45" s="4" t="s">
        <v>115</v>
      </c>
      <c r="B45" s="5" t="s">
        <v>116</v>
      </c>
      <c r="C45" s="5">
        <v>1.0</v>
      </c>
      <c r="E45" s="6" t="s">
        <v>16</v>
      </c>
      <c r="G45" s="6" t="s">
        <v>17</v>
      </c>
      <c r="H45" s="8" t="s">
        <v>26</v>
      </c>
    </row>
    <row r="46" ht="22.5" customHeight="1">
      <c r="A46" s="4" t="s">
        <v>117</v>
      </c>
      <c r="B46" s="5" t="s">
        <v>118</v>
      </c>
      <c r="C46" s="5">
        <v>1.0</v>
      </c>
      <c r="E46" s="6" t="s">
        <v>16</v>
      </c>
      <c r="G46" s="6" t="s">
        <v>17</v>
      </c>
      <c r="H46" s="8" t="s">
        <v>26</v>
      </c>
    </row>
    <row r="47" ht="22.5" customHeight="1">
      <c r="A47" s="4" t="s">
        <v>119</v>
      </c>
      <c r="B47" s="5" t="s">
        <v>120</v>
      </c>
      <c r="C47" s="5">
        <v>3.0</v>
      </c>
      <c r="D47" s="4" t="s">
        <v>27</v>
      </c>
      <c r="E47" s="6" t="s">
        <v>16</v>
      </c>
      <c r="G47" s="6" t="s">
        <v>17</v>
      </c>
      <c r="H47" s="8" t="s">
        <v>26</v>
      </c>
    </row>
    <row r="48" ht="22.5" customHeight="1">
      <c r="A48" s="4" t="s">
        <v>121</v>
      </c>
      <c r="B48" s="5" t="s">
        <v>122</v>
      </c>
      <c r="C48" s="5">
        <v>2.0</v>
      </c>
      <c r="E48" s="6" t="s">
        <v>16</v>
      </c>
      <c r="G48" s="6" t="s">
        <v>17</v>
      </c>
      <c r="H48" s="8" t="s">
        <v>26</v>
      </c>
    </row>
    <row r="49" ht="22.5" customHeight="1">
      <c r="A49" s="4" t="s">
        <v>123</v>
      </c>
      <c r="B49" s="5" t="s">
        <v>124</v>
      </c>
      <c r="C49" s="5">
        <v>3.0</v>
      </c>
      <c r="D49" s="4" t="s">
        <v>27</v>
      </c>
      <c r="E49" s="6" t="s">
        <v>16</v>
      </c>
      <c r="G49" s="6" t="s">
        <v>17</v>
      </c>
      <c r="H49" s="8" t="s">
        <v>26</v>
      </c>
    </row>
    <row r="50" ht="22.5" customHeight="1">
      <c r="A50" s="4" t="s">
        <v>125</v>
      </c>
      <c r="B50" s="5" t="s">
        <v>126</v>
      </c>
      <c r="C50" s="5">
        <v>1.0</v>
      </c>
      <c r="E50" s="6" t="s">
        <v>16</v>
      </c>
      <c r="G50" s="6" t="s">
        <v>17</v>
      </c>
      <c r="H50" s="8" t="s">
        <v>26</v>
      </c>
    </row>
    <row r="51" ht="22.5" customHeight="1">
      <c r="A51" s="4" t="s">
        <v>127</v>
      </c>
      <c r="B51" s="5" t="s">
        <v>128</v>
      </c>
      <c r="C51" s="5">
        <v>4.0</v>
      </c>
      <c r="D51" s="4" t="s">
        <v>27</v>
      </c>
      <c r="E51" s="6" t="s">
        <v>16</v>
      </c>
      <c r="G51" s="6" t="s">
        <v>17</v>
      </c>
      <c r="H51" s="8" t="s">
        <v>26</v>
      </c>
    </row>
    <row r="52" ht="22.5" customHeight="1">
      <c r="A52" s="4" t="s">
        <v>129</v>
      </c>
      <c r="B52" s="5" t="s">
        <v>130</v>
      </c>
      <c r="C52" s="5">
        <v>1.0</v>
      </c>
      <c r="E52" s="6" t="s">
        <v>16</v>
      </c>
      <c r="G52" s="6" t="s">
        <v>17</v>
      </c>
      <c r="H52" s="8" t="s">
        <v>26</v>
      </c>
    </row>
    <row r="53" ht="22.5" customHeight="1">
      <c r="A53" s="4" t="s">
        <v>131</v>
      </c>
      <c r="B53" s="5" t="s">
        <v>132</v>
      </c>
      <c r="C53" s="5">
        <v>2.0</v>
      </c>
      <c r="E53" s="6" t="s">
        <v>16</v>
      </c>
      <c r="G53" s="6" t="s">
        <v>17</v>
      </c>
      <c r="H53" s="8" t="s">
        <v>18</v>
      </c>
    </row>
    <row r="54" ht="22.5" customHeight="1">
      <c r="A54" s="4" t="s">
        <v>133</v>
      </c>
      <c r="B54" s="5" t="s">
        <v>134</v>
      </c>
      <c r="C54" s="5">
        <v>2.0</v>
      </c>
      <c r="E54" s="6" t="s">
        <v>16</v>
      </c>
      <c r="G54" s="6" t="s">
        <v>17</v>
      </c>
      <c r="H54" s="8" t="s">
        <v>18</v>
      </c>
    </row>
    <row r="55" ht="22.5" customHeight="1">
      <c r="A55" s="10" t="s">
        <v>135</v>
      </c>
      <c r="B55" s="11" t="s">
        <v>136</v>
      </c>
      <c r="C55" s="11">
        <v>1.0</v>
      </c>
      <c r="D55" s="12"/>
      <c r="E55" s="20" t="s">
        <v>16</v>
      </c>
      <c r="F55" s="12"/>
      <c r="G55" s="6" t="s">
        <v>17</v>
      </c>
      <c r="H55" s="14" t="s">
        <v>26</v>
      </c>
    </row>
    <row r="56" ht="22.5" customHeight="1">
      <c r="A56" s="4" t="s">
        <v>137</v>
      </c>
      <c r="B56" s="5" t="s">
        <v>138</v>
      </c>
      <c r="C56" s="5">
        <v>6.0</v>
      </c>
      <c r="D56" s="4" t="s">
        <v>27</v>
      </c>
      <c r="E56" s="6" t="s">
        <v>16</v>
      </c>
      <c r="G56" s="6" t="s">
        <v>17</v>
      </c>
      <c r="H56" s="8" t="s">
        <v>26</v>
      </c>
    </row>
    <row r="57" ht="22.5" customHeight="1">
      <c r="A57" s="4" t="s">
        <v>139</v>
      </c>
      <c r="B57" s="5" t="s">
        <v>140</v>
      </c>
      <c r="C57" s="5">
        <v>2.0</v>
      </c>
      <c r="E57" s="6" t="s">
        <v>16</v>
      </c>
      <c r="G57" s="6" t="s">
        <v>17</v>
      </c>
      <c r="H57" s="8" t="s">
        <v>26</v>
      </c>
    </row>
    <row r="58" ht="22.5" customHeight="1">
      <c r="A58" s="4" t="s">
        <v>141</v>
      </c>
      <c r="B58" s="5" t="s">
        <v>142</v>
      </c>
      <c r="C58" s="5">
        <v>3.0</v>
      </c>
      <c r="E58" s="6" t="s">
        <v>16</v>
      </c>
      <c r="G58" s="6" t="s">
        <v>17</v>
      </c>
      <c r="H58" s="8" t="s">
        <v>26</v>
      </c>
    </row>
    <row r="59" ht="22.5" customHeight="1">
      <c r="A59" s="4" t="s">
        <v>143</v>
      </c>
      <c r="B59" s="5"/>
      <c r="C59" s="5">
        <v>2.0</v>
      </c>
      <c r="E59" s="6" t="s">
        <v>16</v>
      </c>
      <c r="G59" s="6" t="s">
        <v>17</v>
      </c>
      <c r="H59" s="8" t="s">
        <v>26</v>
      </c>
    </row>
    <row r="60" ht="22.5" customHeight="1">
      <c r="A60" s="4" t="s">
        <v>144</v>
      </c>
      <c r="B60" s="5" t="s">
        <v>145</v>
      </c>
      <c r="C60" s="5">
        <v>2.0</v>
      </c>
      <c r="E60" s="6" t="s">
        <v>16</v>
      </c>
      <c r="G60" s="6" t="s">
        <v>17</v>
      </c>
      <c r="H60" s="8" t="s">
        <v>18</v>
      </c>
    </row>
    <row r="61" ht="22.5" customHeight="1">
      <c r="A61" s="4" t="s">
        <v>146</v>
      </c>
      <c r="B61" s="5"/>
      <c r="C61" s="5">
        <v>3.0</v>
      </c>
      <c r="D61" s="4" t="s">
        <v>147</v>
      </c>
      <c r="E61" s="6" t="s">
        <v>16</v>
      </c>
      <c r="G61" s="6" t="s">
        <v>17</v>
      </c>
      <c r="H61" s="8" t="s">
        <v>26</v>
      </c>
    </row>
    <row r="62" ht="22.5" customHeight="1">
      <c r="A62" s="4" t="s">
        <v>148</v>
      </c>
      <c r="B62" s="5" t="s">
        <v>149</v>
      </c>
      <c r="C62" s="5">
        <v>2.0</v>
      </c>
      <c r="D62" s="4"/>
      <c r="E62" s="6" t="s">
        <v>16</v>
      </c>
      <c r="G62" s="6" t="s">
        <v>17</v>
      </c>
      <c r="H62" s="8" t="s">
        <v>26</v>
      </c>
    </row>
    <row r="63" ht="22.5" customHeight="1">
      <c r="A63" s="4" t="s">
        <v>150</v>
      </c>
      <c r="B63" s="5" t="s">
        <v>151</v>
      </c>
      <c r="C63" s="5">
        <v>4.0</v>
      </c>
      <c r="D63" s="4"/>
      <c r="E63" s="6" t="s">
        <v>16</v>
      </c>
      <c r="G63" s="6" t="s">
        <v>107</v>
      </c>
      <c r="H63" s="8" t="s">
        <v>26</v>
      </c>
    </row>
    <row r="64" ht="22.5" customHeight="1">
      <c r="A64" s="4" t="s">
        <v>152</v>
      </c>
      <c r="B64" s="5" t="s">
        <v>153</v>
      </c>
      <c r="C64" s="5">
        <v>3.0</v>
      </c>
      <c r="D64" s="4" t="s">
        <v>27</v>
      </c>
      <c r="E64" s="6" t="s">
        <v>16</v>
      </c>
      <c r="G64" s="6" t="s">
        <v>17</v>
      </c>
      <c r="H64" s="8" t="s">
        <v>26</v>
      </c>
    </row>
    <row r="65" ht="22.5" customHeight="1">
      <c r="A65" s="4" t="s">
        <v>154</v>
      </c>
      <c r="B65" s="5"/>
      <c r="C65" s="5">
        <v>3.0</v>
      </c>
      <c r="E65" s="6" t="s">
        <v>16</v>
      </c>
      <c r="G65" s="6" t="s">
        <v>17</v>
      </c>
      <c r="H65" s="8" t="s">
        <v>26</v>
      </c>
    </row>
    <row r="66" ht="22.5" customHeight="1">
      <c r="A66" s="4" t="s">
        <v>155</v>
      </c>
      <c r="B66" s="5" t="s">
        <v>156</v>
      </c>
      <c r="C66" s="5">
        <v>2.0</v>
      </c>
      <c r="E66" s="6" t="s">
        <v>16</v>
      </c>
      <c r="G66" s="6" t="s">
        <v>17</v>
      </c>
      <c r="H66" s="8" t="s">
        <v>26</v>
      </c>
    </row>
    <row r="67" ht="22.5" customHeight="1">
      <c r="A67" s="4" t="s">
        <v>157</v>
      </c>
      <c r="B67" s="5" t="s">
        <v>158</v>
      </c>
      <c r="C67" s="5">
        <v>2.0</v>
      </c>
      <c r="E67" s="6" t="s">
        <v>16</v>
      </c>
      <c r="G67" s="6" t="s">
        <v>17</v>
      </c>
      <c r="H67" s="8" t="s">
        <v>18</v>
      </c>
    </row>
    <row r="68" ht="22.5" customHeight="1">
      <c r="A68" s="4" t="s">
        <v>159</v>
      </c>
      <c r="B68" s="5"/>
      <c r="C68" s="5">
        <v>3.0</v>
      </c>
      <c r="E68" s="6" t="s">
        <v>19</v>
      </c>
      <c r="G68" s="6" t="s">
        <v>17</v>
      </c>
      <c r="H68" s="8" t="s">
        <v>26</v>
      </c>
    </row>
    <row r="69" ht="22.5" customHeight="1">
      <c r="A69" s="12"/>
      <c r="B69" s="12"/>
      <c r="C69" s="11"/>
      <c r="D69" s="12"/>
      <c r="E69" s="18"/>
      <c r="F69" s="12"/>
      <c r="G69" s="18"/>
      <c r="H69" s="19"/>
    </row>
    <row r="70" ht="28.5" customHeight="1">
      <c r="A70" s="4" t="s">
        <v>160</v>
      </c>
      <c r="B70" s="4"/>
      <c r="C70" s="15">
        <f>SUM(Tabela_1[Qtd pessoas])
</f>
        <v>152</v>
      </c>
      <c r="D70" s="21"/>
      <c r="E70" s="21"/>
      <c r="F70" s="21"/>
      <c r="G70" s="21"/>
      <c r="H70" s="21"/>
    </row>
    <row r="71" ht="28.5" customHeight="1">
      <c r="A71" s="1" t="s">
        <v>161</v>
      </c>
      <c r="B71" s="1"/>
      <c r="C71" s="22">
        <f>SUMIF(Tabela_1[Chance de não ir],"Não",Tabela_1[Qtd pessoas])
</f>
        <v>146</v>
      </c>
      <c r="D71" s="22"/>
      <c r="E71" s="22"/>
      <c r="F71" s="22"/>
      <c r="G71" s="22"/>
      <c r="H71" s="22"/>
    </row>
  </sheetData>
  <dataValidations>
    <dataValidation type="list" allowBlank="1" sqref="H3:H69">
      <formula1>"Julia,Christian"</formula1>
    </dataValidation>
    <dataValidation type="list" allowBlank="1" sqref="E3:E69">
      <formula1>"Cerimonial,Padrinho,Convidado"</formula1>
    </dataValidation>
    <dataValidation type="custom" allowBlank="1" showDropDown="1" sqref="C3:C69">
      <formula1>AND(ISNUMBER(C3),(NOT(OR(NOT(ISERROR(DATEVALUE(C3))), AND(ISNUMBER(C3), LEFT(CELL("format", C3))="D")))))</formula1>
    </dataValidation>
    <dataValidation type="list" allowBlank="1" sqref="G3:G69">
      <formula1>"Sim,Não"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  <col customWidth="1" min="2" max="2" width="28.0"/>
    <col customWidth="1" min="3" max="3" width="33.88"/>
    <col customWidth="1" min="4" max="4" width="25.13"/>
    <col customWidth="1" min="5" max="5" width="22.38"/>
    <col customWidth="1" min="7" max="7" width="24.75"/>
    <col customWidth="1" min="8" max="8" width="23.13"/>
  </cols>
  <sheetData>
    <row r="2" ht="22.5" customHeight="1">
      <c r="A2" s="2" t="s">
        <v>1</v>
      </c>
      <c r="B2" s="2" t="s">
        <v>2</v>
      </c>
      <c r="C2" s="2" t="s">
        <v>4</v>
      </c>
      <c r="D2" s="2" t="s">
        <v>5</v>
      </c>
      <c r="E2" s="2" t="s">
        <v>6</v>
      </c>
      <c r="F2" s="2" t="s">
        <v>7</v>
      </c>
      <c r="G2" s="3" t="s">
        <v>8</v>
      </c>
      <c r="H2" s="2" t="s">
        <v>9</v>
      </c>
      <c r="I2" s="1"/>
    </row>
    <row r="3" ht="22.5" customHeight="1">
      <c r="A3" s="5">
        <v>1.0</v>
      </c>
      <c r="B3" s="4" t="s">
        <v>14</v>
      </c>
      <c r="C3" s="5">
        <v>2.0</v>
      </c>
      <c r="E3" s="6" t="s">
        <v>16</v>
      </c>
      <c r="G3" s="7"/>
      <c r="H3" s="8" t="s">
        <v>18</v>
      </c>
    </row>
    <row r="4" ht="22.5" customHeight="1">
      <c r="A4" s="5">
        <v>2.0</v>
      </c>
      <c r="B4" s="4" t="s">
        <v>21</v>
      </c>
      <c r="C4" s="5">
        <v>2.0</v>
      </c>
      <c r="E4" s="6" t="s">
        <v>16</v>
      </c>
      <c r="G4" s="7"/>
      <c r="H4" s="8" t="s">
        <v>18</v>
      </c>
    </row>
    <row r="5" ht="22.5" customHeight="1">
      <c r="A5" s="5">
        <v>3.0</v>
      </c>
      <c r="B5" s="4" t="s">
        <v>23</v>
      </c>
      <c r="C5" s="5">
        <v>2.0</v>
      </c>
      <c r="E5" s="6" t="s">
        <v>16</v>
      </c>
      <c r="G5" s="7"/>
      <c r="H5" s="8" t="s">
        <v>26</v>
      </c>
    </row>
    <row r="6" ht="22.5" customHeight="1">
      <c r="A6" s="5">
        <v>4.0</v>
      </c>
      <c r="B6" s="4" t="s">
        <v>28</v>
      </c>
      <c r="C6" s="5">
        <v>3.0</v>
      </c>
      <c r="E6" s="6" t="s">
        <v>16</v>
      </c>
      <c r="G6" s="7"/>
      <c r="H6" s="8" t="s">
        <v>26</v>
      </c>
    </row>
    <row r="7" ht="22.5" customHeight="1">
      <c r="A7" s="5">
        <v>5.0</v>
      </c>
      <c r="B7" s="4" t="s">
        <v>29</v>
      </c>
      <c r="C7" s="5">
        <v>3.0</v>
      </c>
      <c r="E7" s="6" t="s">
        <v>16</v>
      </c>
      <c r="G7" s="7"/>
      <c r="H7" s="8" t="s">
        <v>26</v>
      </c>
    </row>
    <row r="8" ht="22.5" customHeight="1">
      <c r="A8" s="5">
        <v>6.0</v>
      </c>
      <c r="B8" s="4" t="s">
        <v>31</v>
      </c>
      <c r="C8" s="5">
        <v>2.0</v>
      </c>
      <c r="E8" s="6" t="s">
        <v>16</v>
      </c>
      <c r="G8" s="7"/>
      <c r="H8" s="8" t="s">
        <v>26</v>
      </c>
    </row>
    <row r="9" ht="22.5" customHeight="1">
      <c r="A9" s="5">
        <v>7.0</v>
      </c>
      <c r="B9" s="4" t="s">
        <v>33</v>
      </c>
      <c r="C9" s="5">
        <v>3.0</v>
      </c>
      <c r="D9" s="4" t="s">
        <v>35</v>
      </c>
      <c r="E9" s="6" t="s">
        <v>16</v>
      </c>
      <c r="G9" s="7"/>
      <c r="H9" s="8" t="s">
        <v>26</v>
      </c>
    </row>
    <row r="10" ht="22.5" customHeight="1">
      <c r="A10" s="5">
        <v>8.0</v>
      </c>
      <c r="B10" s="4" t="s">
        <v>37</v>
      </c>
      <c r="C10" s="5">
        <v>2.0</v>
      </c>
      <c r="E10" s="6" t="s">
        <v>16</v>
      </c>
      <c r="G10" s="7"/>
      <c r="H10" s="8" t="s">
        <v>18</v>
      </c>
    </row>
    <row r="11" ht="22.5" customHeight="1">
      <c r="A11" s="5">
        <v>9.0</v>
      </c>
      <c r="B11" s="4" t="s">
        <v>40</v>
      </c>
      <c r="C11" s="5">
        <v>3.0</v>
      </c>
      <c r="E11" s="6" t="s">
        <v>16</v>
      </c>
      <c r="G11" s="7"/>
      <c r="H11" s="8" t="s">
        <v>26</v>
      </c>
    </row>
    <row r="12" ht="22.5" customHeight="1">
      <c r="A12" s="5">
        <v>10.0</v>
      </c>
      <c r="B12" s="4" t="s">
        <v>44</v>
      </c>
      <c r="C12" s="5">
        <v>3.0</v>
      </c>
      <c r="E12" s="6" t="s">
        <v>16</v>
      </c>
      <c r="G12" s="7"/>
      <c r="H12" s="8" t="s">
        <v>26</v>
      </c>
    </row>
    <row r="13" ht="22.5" customHeight="1">
      <c r="A13" s="5">
        <v>11.0</v>
      </c>
      <c r="B13" s="4" t="s">
        <v>47</v>
      </c>
      <c r="C13" s="5">
        <v>2.0</v>
      </c>
      <c r="E13" s="6" t="s">
        <v>16</v>
      </c>
      <c r="G13" s="7"/>
      <c r="H13" s="8" t="s">
        <v>26</v>
      </c>
    </row>
    <row r="14" ht="22.5" customHeight="1">
      <c r="A14" s="5">
        <v>12.0</v>
      </c>
      <c r="B14" s="4" t="s">
        <v>49</v>
      </c>
      <c r="C14" s="5">
        <v>2.0</v>
      </c>
      <c r="E14" s="6" t="s">
        <v>16</v>
      </c>
      <c r="G14" s="7"/>
      <c r="H14" s="8" t="s">
        <v>26</v>
      </c>
    </row>
    <row r="15" ht="22.5" customHeight="1">
      <c r="A15" s="5">
        <v>13.0</v>
      </c>
      <c r="C15" s="5"/>
      <c r="E15" s="7"/>
      <c r="G15" s="7"/>
      <c r="H15" s="9"/>
    </row>
    <row r="16" ht="22.5" customHeight="1">
      <c r="A16" s="5">
        <v>14.0</v>
      </c>
      <c r="C16" s="5"/>
      <c r="E16" s="7"/>
      <c r="G16" s="7"/>
      <c r="H16" s="9"/>
    </row>
    <row r="17" ht="22.5" customHeight="1">
      <c r="A17" s="5">
        <v>15.0</v>
      </c>
      <c r="C17" s="5"/>
      <c r="E17" s="7"/>
      <c r="G17" s="7"/>
      <c r="H17" s="9"/>
    </row>
    <row r="18" ht="22.5" customHeight="1">
      <c r="A18" s="5">
        <v>16.0</v>
      </c>
      <c r="C18" s="5"/>
      <c r="E18" s="7"/>
      <c r="G18" s="7"/>
      <c r="H18" s="9"/>
    </row>
    <row r="19" ht="22.5" customHeight="1">
      <c r="A19" s="5">
        <v>17.0</v>
      </c>
      <c r="C19" s="5"/>
      <c r="E19" s="7"/>
      <c r="G19" s="7"/>
      <c r="H19" s="9"/>
    </row>
    <row r="20" ht="22.5" customHeight="1">
      <c r="A20" s="5">
        <v>18.0</v>
      </c>
      <c r="C20" s="5"/>
      <c r="E20" s="7"/>
      <c r="G20" s="7"/>
      <c r="H20" s="9"/>
    </row>
    <row r="21" ht="22.5" customHeight="1">
      <c r="A21" s="5">
        <v>19.0</v>
      </c>
      <c r="C21" s="5"/>
      <c r="E21" s="7"/>
      <c r="G21" s="7"/>
      <c r="H21" s="9"/>
    </row>
    <row r="22" ht="22.5" customHeight="1">
      <c r="A22" s="5">
        <v>20.0</v>
      </c>
      <c r="C22" s="5"/>
      <c r="E22" s="7"/>
      <c r="G22" s="7"/>
      <c r="H22" s="9"/>
    </row>
    <row r="23" ht="22.5" customHeight="1">
      <c r="A23" s="5">
        <v>21.0</v>
      </c>
      <c r="C23" s="5"/>
      <c r="E23" s="7"/>
      <c r="G23" s="7"/>
      <c r="H23" s="9"/>
    </row>
    <row r="24" ht="22.5" customHeight="1">
      <c r="A24" s="5"/>
      <c r="C24" s="5"/>
      <c r="E24" s="7"/>
      <c r="G24" s="7"/>
      <c r="H24" s="9"/>
    </row>
    <row r="25" ht="22.5" customHeight="1">
      <c r="A25" s="5"/>
      <c r="C25" s="5"/>
      <c r="E25" s="7"/>
      <c r="G25" s="7"/>
      <c r="H25" s="9"/>
    </row>
    <row r="26" ht="22.5" customHeight="1">
      <c r="A26" s="5"/>
      <c r="C26" s="5"/>
      <c r="E26" s="7"/>
      <c r="G26" s="7"/>
      <c r="H26" s="9"/>
    </row>
    <row r="27" ht="22.5" customHeight="1">
      <c r="A27" s="5"/>
      <c r="C27" s="5"/>
      <c r="E27" s="7"/>
      <c r="G27" s="7"/>
      <c r="H27" s="9"/>
    </row>
    <row r="28" ht="22.5" customHeight="1">
      <c r="A28" s="5"/>
      <c r="C28" s="5"/>
      <c r="E28" s="7"/>
      <c r="G28" s="7"/>
      <c r="H28" s="9"/>
    </row>
    <row r="29" ht="22.5" customHeight="1">
      <c r="A29" s="5"/>
      <c r="C29" s="5"/>
      <c r="E29" s="7"/>
      <c r="G29" s="7"/>
      <c r="H29" s="9"/>
    </row>
    <row r="30" ht="22.5" customHeight="1">
      <c r="A30" s="5"/>
      <c r="C30" s="5"/>
      <c r="E30" s="7"/>
      <c r="G30" s="7"/>
      <c r="H30" s="9"/>
    </row>
    <row r="31" ht="22.5" customHeight="1">
      <c r="A31" s="5"/>
      <c r="C31" s="5"/>
      <c r="E31" s="7"/>
      <c r="G31" s="7"/>
      <c r="H31" s="9"/>
    </row>
    <row r="32" ht="22.5" customHeight="1">
      <c r="A32" s="5"/>
      <c r="C32" s="5"/>
      <c r="E32" s="7"/>
      <c r="G32" s="7"/>
      <c r="H32" s="9"/>
    </row>
    <row r="33" ht="22.5" customHeight="1">
      <c r="A33" s="5"/>
      <c r="C33" s="5"/>
      <c r="E33" s="7"/>
      <c r="G33" s="7"/>
      <c r="H33" s="9"/>
    </row>
    <row r="34" ht="22.5" customHeight="1">
      <c r="A34" s="5"/>
      <c r="C34" s="5"/>
      <c r="E34" s="7"/>
      <c r="G34" s="7"/>
      <c r="H34" s="9"/>
    </row>
    <row r="35" ht="22.5" customHeight="1">
      <c r="A35" s="5"/>
      <c r="C35" s="5"/>
      <c r="E35" s="7"/>
      <c r="G35" s="7"/>
      <c r="H35" s="9"/>
    </row>
    <row r="36" ht="22.5" customHeight="1">
      <c r="A36" s="5"/>
      <c r="C36" s="5"/>
      <c r="E36" s="7"/>
      <c r="G36" s="7"/>
      <c r="H36" s="9"/>
    </row>
    <row r="37" ht="22.5" customHeight="1">
      <c r="A37" s="5"/>
      <c r="C37" s="5"/>
      <c r="E37" s="7"/>
      <c r="G37" s="7"/>
      <c r="H37" s="9"/>
    </row>
    <row r="38" ht="22.5" customHeight="1">
      <c r="A38" s="5"/>
      <c r="C38" s="5"/>
      <c r="E38" s="7"/>
      <c r="G38" s="7"/>
      <c r="H38" s="9"/>
    </row>
    <row r="39" ht="22.5" customHeight="1">
      <c r="A39" s="5"/>
      <c r="C39" s="5"/>
      <c r="E39" s="7"/>
      <c r="G39" s="7"/>
      <c r="H39" s="9"/>
    </row>
    <row r="40" ht="22.5" customHeight="1">
      <c r="A40" s="5"/>
      <c r="C40" s="5"/>
      <c r="E40" s="7"/>
      <c r="G40" s="7"/>
      <c r="H40" s="9"/>
    </row>
    <row r="41" ht="22.5" customHeight="1">
      <c r="A41" s="5"/>
      <c r="C41" s="5"/>
      <c r="E41" s="7"/>
      <c r="G41" s="7"/>
      <c r="H41" s="9"/>
    </row>
    <row r="42" ht="22.5" customHeight="1">
      <c r="A42" s="5"/>
      <c r="C42" s="5"/>
      <c r="E42" s="7"/>
      <c r="G42" s="7"/>
      <c r="H42" s="9"/>
    </row>
    <row r="43" ht="22.5" customHeight="1">
      <c r="A43" s="5"/>
      <c r="C43" s="5"/>
      <c r="E43" s="7"/>
      <c r="G43" s="7"/>
      <c r="H43" s="9"/>
    </row>
    <row r="44" ht="22.5" customHeight="1">
      <c r="A44" s="5"/>
      <c r="C44" s="5"/>
      <c r="E44" s="7"/>
      <c r="G44" s="7"/>
      <c r="H44" s="8"/>
    </row>
    <row r="45" ht="22.5" customHeight="1">
      <c r="A45" s="5"/>
      <c r="C45" s="5"/>
      <c r="E45" s="7"/>
      <c r="G45" s="7"/>
      <c r="H45" s="8"/>
    </row>
    <row r="46" ht="22.5" customHeight="1">
      <c r="A46" s="5"/>
      <c r="C46" s="5"/>
      <c r="E46" s="7"/>
      <c r="G46" s="7"/>
      <c r="H46" s="8"/>
    </row>
    <row r="47" ht="22.5" customHeight="1">
      <c r="A47" s="5"/>
      <c r="C47" s="5"/>
      <c r="E47" s="7"/>
      <c r="G47" s="7"/>
      <c r="H47" s="8"/>
    </row>
    <row r="48" ht="22.5" customHeight="1">
      <c r="A48" s="5"/>
      <c r="C48" s="5"/>
      <c r="E48" s="7"/>
      <c r="G48" s="7"/>
      <c r="H48" s="8"/>
    </row>
    <row r="49" ht="22.5" customHeight="1">
      <c r="A49" s="5"/>
      <c r="C49" s="5"/>
      <c r="E49" s="7"/>
      <c r="G49" s="7"/>
      <c r="H49" s="8"/>
    </row>
    <row r="50" ht="22.5" customHeight="1">
      <c r="A50" s="5"/>
      <c r="C50" s="5"/>
      <c r="E50" s="7"/>
      <c r="G50" s="7"/>
      <c r="H50" s="8"/>
    </row>
    <row r="51" ht="22.5" customHeight="1">
      <c r="A51" s="5"/>
      <c r="C51" s="5"/>
      <c r="E51" s="7"/>
      <c r="G51" s="7"/>
      <c r="H51" s="8"/>
    </row>
    <row r="52" ht="22.5" customHeight="1">
      <c r="A52" s="5"/>
      <c r="C52" s="5"/>
      <c r="E52" s="7"/>
      <c r="G52" s="7"/>
      <c r="H52" s="8"/>
    </row>
    <row r="53" ht="22.5" customHeight="1">
      <c r="A53" s="5"/>
      <c r="C53" s="5"/>
      <c r="E53" s="7"/>
      <c r="G53" s="7"/>
      <c r="H53" s="8"/>
    </row>
    <row r="54" ht="22.5" customHeight="1">
      <c r="A54" s="5"/>
      <c r="C54" s="5"/>
      <c r="E54" s="7"/>
      <c r="G54" s="7"/>
      <c r="H54" s="8"/>
    </row>
    <row r="55" ht="22.5" customHeight="1">
      <c r="A55" s="5"/>
      <c r="C55" s="5"/>
      <c r="E55" s="7"/>
      <c r="G55" s="7"/>
      <c r="H55" s="8"/>
    </row>
    <row r="56" ht="22.5" customHeight="1">
      <c r="A56" s="5"/>
      <c r="B56" s="10"/>
      <c r="C56" s="11"/>
      <c r="D56" s="12"/>
      <c r="E56" s="13"/>
      <c r="F56" s="12"/>
      <c r="G56" s="7"/>
      <c r="H56" s="14"/>
    </row>
    <row r="57" ht="22.5" customHeight="1">
      <c r="A57" s="5"/>
      <c r="C57" s="5"/>
      <c r="E57" s="7"/>
      <c r="G57" s="7"/>
      <c r="H57" s="8"/>
    </row>
    <row r="58" ht="22.5" customHeight="1">
      <c r="A58" s="5"/>
      <c r="C58" s="5"/>
      <c r="E58" s="7"/>
      <c r="G58" s="7"/>
      <c r="H58" s="8"/>
    </row>
    <row r="59" ht="22.5" customHeight="1">
      <c r="A59" s="5"/>
      <c r="C59" s="5"/>
      <c r="E59" s="7"/>
      <c r="G59" s="7"/>
      <c r="H59" s="8"/>
    </row>
    <row r="60" ht="22.5" customHeight="1">
      <c r="A60" s="5"/>
      <c r="C60" s="5"/>
      <c r="E60" s="7"/>
      <c r="G60" s="7"/>
      <c r="H60" s="8"/>
    </row>
    <row r="61" ht="22.5" customHeight="1">
      <c r="A61" s="15"/>
      <c r="B61" s="4"/>
      <c r="C61" s="5"/>
      <c r="E61" s="16"/>
      <c r="G61" s="16"/>
      <c r="H61" s="9"/>
    </row>
    <row r="62" ht="22.5" customHeight="1">
      <c r="A62" s="15"/>
      <c r="B62" s="4"/>
      <c r="C62" s="5"/>
      <c r="E62" s="16"/>
      <c r="G62" s="16"/>
      <c r="H62" s="9"/>
    </row>
    <row r="63" ht="22.5" customHeight="1">
      <c r="A63" s="17"/>
      <c r="B63" s="12"/>
      <c r="C63" s="17">
        <f>SUM(C2:C60)
</f>
        <v>29</v>
      </c>
      <c r="D63" s="12"/>
      <c r="E63" s="18"/>
      <c r="F63" s="12"/>
      <c r="G63" s="18"/>
      <c r="H63" s="19"/>
    </row>
  </sheetData>
  <dataValidations>
    <dataValidation type="list" allowBlank="1" sqref="E3:E63">
      <formula1>"Padrinho,Convidado"</formula1>
    </dataValidation>
    <dataValidation type="list" allowBlank="1" sqref="H3:H63">
      <formula1>"Julia,Christian"</formula1>
    </dataValidation>
    <dataValidation type="custom" allowBlank="1" showDropDown="1" sqref="A3:A63 C3:C63">
      <formula1>AND(ISNUMBER(A3),(NOT(OR(NOT(ISERROR(DATEVALUE(A3))), AND(ISNUMBER(A3), LEFT(CELL("format", A3))="D")))))</formula1>
    </dataValidation>
    <dataValidation type="list" allowBlank="1" sqref="G3:G63">
      <formula1>"Sim,Não"</formula1>
    </dataValidation>
  </dataValidations>
  <drawing r:id="rId1"/>
  <tableParts count="1">
    <tablePart r:id="rId3"/>
  </tableParts>
</worksheet>
</file>